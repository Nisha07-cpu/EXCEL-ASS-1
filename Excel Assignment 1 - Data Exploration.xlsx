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fhi\Downloads\"/>
    </mc:Choice>
  </mc:AlternateContent>
  <xr:revisionPtr revIDLastSave="0" documentId="13_ncr:1_{1F4038EA-86C6-4778-8582-CB41C1D34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2" i="2" l="1"/>
  <c r="I2" i="2"/>
  <c r="J2" i="2"/>
  <c r="K2" i="2"/>
  <c r="L2" i="2"/>
  <c r="M2" i="2"/>
  <c r="N2" i="2"/>
  <c r="O2" i="2"/>
  <c r="P2" i="2"/>
  <c r="Q2" i="2"/>
  <c r="G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<sst xmlns="http://schemas.openxmlformats.org/spreadsheetml/2006/main" count="153" uniqueCount="104">
  <si>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</si>
  <si>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</si>
  <si>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</si>
  <si>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</si>
  <si>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</si>
  <si>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</si>
  <si>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</si>
  <si>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</si>
  <si>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</si>
  <si>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</si>
  <si>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</si>
  <si>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</si>
  <si>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</si>
  <si>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</si>
  <si>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</si>
  <si>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</si>
  <si>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</si>
  <si>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</si>
  <si>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</si>
  <si>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</si>
  <si>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</si>
  <si>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</si>
  <si>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</si>
  <si>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</si>
  <si>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</si>
  <si>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</si>
  <si>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</si>
  <si>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</si>
  <si>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</si>
  <si>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</si>
  <si>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</si>
  <si>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</si>
  <si>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</si>
  <si>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</si>
  <si>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</si>
  <si>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</si>
  <si>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</si>
  <si>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</si>
  <si>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</si>
  <si>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</si>
  <si>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</si>
  <si>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</si>
  <si>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</si>
  <si>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</si>
  <si>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</si>
  <si>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</si>
  <si>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</si>
  <si>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</si>
  <si>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</si>
  <si>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</si>
  <si>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</si>
  <si>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</si>
  <si>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</si>
  <si>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</si>
  <si>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</si>
  <si>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</si>
  <si>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</si>
  <si>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</si>
  <si>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</si>
  <si>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</si>
  <si>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</si>
  <si>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</si>
  <si>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</si>
  <si>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</si>
  <si>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</si>
  <si>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</si>
  <si>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</si>
  <si>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</si>
  <si>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</si>
  <si>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</si>
  <si>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</si>
  <si>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</si>
  <si>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</si>
  <si>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</si>
  <si>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</si>
  <si>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</si>
  <si>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</si>
  <si>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</si>
  <si>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</si>
  <si>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</si>
  <si>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</si>
  <si>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</si>
  <si>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</si>
  <si>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</si>
  <si>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</si>
  <si>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</si>
  <si>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</si>
  <si>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</si>
  <si>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</si>
  <si>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</si>
  <si>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</si>
  <si>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</si>
  <si>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</si>
  <si>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</si>
  <si>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</si>
  <si>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</si>
  <si>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</si>
  <si>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</si>
  <si>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>PRICE RANGE</t>
  </si>
  <si>
    <t>SUMIF</t>
  </si>
  <si>
    <t>COUNTIF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</si>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</sst>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49]\ #,##0.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i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4DD0E1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7" borderId="0" xfId="0" applyFont="1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abSelected="1" workbookViewId="0">
      <selection activeCell="H1" sqref="H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3" width="18.5546875" customWidth="1"/>
    <col min="4" max="6" width="12.6640625" customWidth="1"/>
    <col min="7" max="7" width="12.88671875" bestFit="1" customWidth="1"/>
    <col min="12" max="12" width="19" customWidth="1"/>
    <col min="15" max="15" width="11.6640625" customWidth="1"/>
    <col min="16" max="16" width="16.7773437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93</v>
      </c>
      <c r="H1" s="9" t="s">
        <v>94</v>
      </c>
      <c r="I1" s="9" t="s">
        <v>95</v>
      </c>
      <c r="J1" s="13" t="s">
        <v>96</v>
      </c>
      <c r="K1" s="13" t="s">
        <v>97</v>
      </c>
      <c r="L1" s="12" t="s">
        <v>98</v>
      </c>
      <c r="M1" s="13" t="s">
        <v>99</v>
      </c>
      <c r="N1" s="13" t="s">
        <v>100</v>
      </c>
      <c r="O1" s="13" t="s">
        <v>101</v>
      </c>
      <c r="P1" s="13" t="s">
        <v>102</v>
      </c>
      <c r="Q1" s="13" t="s">
        <v>103</v>
      </c>
    </row>
    <row r="2" spans="1:17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15">
        <f>SUM(D2:D35)</f>
        <v>10100</v>
      </c>
      <c r="H2" s="6">
        <f>COUNT(E2:E35)</f>
        <v>34</v>
      </c>
      <c r="I2" s="11">
        <f>AVERAGE(D2:D35)</f>
        <v>297.05882352941177</v>
      </c>
      <c r="J2" s="6">
        <f>MIN(D2:D35)</f>
        <v>30</v>
      </c>
      <c r="K2" s="6">
        <f>MAX(D2:D35)</f>
        <v>1000</v>
      </c>
      <c r="L2" s="7" t="str">
        <f>IF(D2&gt;=500,"High price","Standard price")</f>
        <v>High price</v>
      </c>
      <c r="M2" s="6">
        <f>SUMIF(F2:F35,"ELECTRONICS",D2:D35)</f>
        <v>8050</v>
      </c>
      <c r="N2" s="6">
        <f>COUNTIF(D2:D35,"&lt;100")</f>
        <v>11</v>
      </c>
      <c r="O2" s="6" t="str">
        <f>LEFT(A2,2)</f>
        <v>28</v>
      </c>
      <c r="P2" s="6" t="str">
        <f>RIGHT(A2,2)</f>
        <v>US</v>
      </c>
      <c r="Q2" s="6" t="str">
        <f>MID(A2,4,3)</f>
        <v>JAN</v>
      </c>
    </row>
    <row r="3" spans="1:17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16"/>
      <c r="L3" s="7" t="str">
        <f t="shared" ref="L3:L35" si="0">IF(D3&gt;=500,"High price","Standard price")</f>
        <v>Standard price</v>
      </c>
      <c r="O3" s="6" t="str">
        <f t="shared" ref="O3:O36" si="1">LEFT(A3,2)</f>
        <v>15</v>
      </c>
      <c r="P3" s="6" t="str">
        <f t="shared" ref="P3:P35" si="2">RIGHT(A3,2)</f>
        <v>US</v>
      </c>
      <c r="Q3" s="6" t="str">
        <f t="shared" ref="Q3:Q35" si="3">MID(A3,4,3)</f>
        <v>FEB</v>
      </c>
    </row>
    <row r="4" spans="1:17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/>
      <c r="L4" s="7" t="str">
        <f t="shared" si="0"/>
        <v>Standard price</v>
      </c>
      <c r="O4" s="6" t="str">
        <f t="shared" si="1"/>
        <v>03</v>
      </c>
      <c r="P4" s="6" t="str">
        <f t="shared" si="2"/>
        <v>US</v>
      </c>
      <c r="Q4" s="6" t="str">
        <f t="shared" si="3"/>
        <v>MAR</v>
      </c>
    </row>
    <row r="5" spans="1:17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/>
      <c r="L5" s="7" t="str">
        <f t="shared" si="0"/>
        <v>High price</v>
      </c>
      <c r="O5" s="6" t="str">
        <f t="shared" si="1"/>
        <v>11</v>
      </c>
      <c r="P5" s="6" t="str">
        <f t="shared" si="2"/>
        <v>US</v>
      </c>
      <c r="Q5" s="6" t="str">
        <f t="shared" si="3"/>
        <v>APR</v>
      </c>
    </row>
    <row r="6" spans="1:17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/>
      <c r="L6" s="7" t="str">
        <f t="shared" si="0"/>
        <v>Standard price</v>
      </c>
      <c r="O6" s="6" t="str">
        <f t="shared" si="1"/>
        <v>22</v>
      </c>
      <c r="P6" s="6" t="str">
        <f t="shared" si="2"/>
        <v>US</v>
      </c>
      <c r="Q6" s="6" t="str">
        <f t="shared" si="3"/>
        <v>MAY</v>
      </c>
    </row>
    <row r="7" spans="1:17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/>
      <c r="L7" s="7" t="str">
        <f t="shared" si="0"/>
        <v>Standard price</v>
      </c>
      <c r="O7" s="6" t="str">
        <f t="shared" si="1"/>
        <v>07</v>
      </c>
      <c r="P7" s="6" t="str">
        <f t="shared" si="2"/>
        <v>UK</v>
      </c>
      <c r="Q7" s="6" t="str">
        <f t="shared" si="3"/>
        <v>JUN</v>
      </c>
    </row>
    <row r="8" spans="1:17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/>
      <c r="L8" s="7" t="str">
        <f t="shared" si="0"/>
        <v>Standard price</v>
      </c>
      <c r="O8" s="6" t="str">
        <f t="shared" si="1"/>
        <v>19</v>
      </c>
      <c r="P8" s="6" t="str">
        <f t="shared" si="2"/>
        <v>UK</v>
      </c>
      <c r="Q8" s="6" t="str">
        <f t="shared" si="3"/>
        <v>JUL</v>
      </c>
    </row>
    <row r="9" spans="1:17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/>
      <c r="L9" s="7" t="str">
        <f t="shared" si="0"/>
        <v>Standard price</v>
      </c>
      <c r="O9" s="6" t="str">
        <f t="shared" si="1"/>
        <v>23</v>
      </c>
      <c r="P9" s="6" t="str">
        <f t="shared" si="2"/>
        <v>UK</v>
      </c>
      <c r="Q9" s="6" t="str">
        <f t="shared" si="3"/>
        <v>AUG</v>
      </c>
    </row>
    <row r="10" spans="1:17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/>
      <c r="L10" s="7" t="str">
        <f t="shared" si="0"/>
        <v>High price</v>
      </c>
      <c r="O10" s="6" t="str">
        <f t="shared" si="1"/>
        <v>05</v>
      </c>
      <c r="P10" s="6" t="str">
        <f t="shared" si="2"/>
        <v>UK</v>
      </c>
      <c r="Q10" s="6" t="str">
        <f t="shared" si="3"/>
        <v>SEP</v>
      </c>
    </row>
    <row r="11" spans="1:17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/>
      <c r="L11" s="7" t="str">
        <f t="shared" si="0"/>
        <v>Standard price</v>
      </c>
      <c r="O11" s="6" t="str">
        <f t="shared" si="1"/>
        <v>14</v>
      </c>
      <c r="P11" s="6" t="str">
        <f t="shared" si="2"/>
        <v>UK</v>
      </c>
      <c r="Q11" s="6" t="str">
        <f t="shared" si="3"/>
        <v>OCT</v>
      </c>
    </row>
    <row r="12" spans="1:17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/>
      <c r="L12" s="7" t="str">
        <f t="shared" si="0"/>
        <v>High price</v>
      </c>
      <c r="O12" s="6" t="str">
        <f t="shared" si="1"/>
        <v>17</v>
      </c>
      <c r="P12" s="6" t="str">
        <f t="shared" si="2"/>
        <v>IN</v>
      </c>
      <c r="Q12" s="6" t="str">
        <f t="shared" si="3"/>
        <v>JUN</v>
      </c>
    </row>
    <row r="13" spans="1:17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/>
      <c r="L13" s="7" t="str">
        <f t="shared" si="0"/>
        <v>Standard price</v>
      </c>
      <c r="O13" s="6" t="str">
        <f t="shared" si="1"/>
        <v>25</v>
      </c>
      <c r="P13" s="6" t="str">
        <f t="shared" si="2"/>
        <v>AU</v>
      </c>
      <c r="Q13" s="6" t="str">
        <f t="shared" si="3"/>
        <v>NOV</v>
      </c>
    </row>
    <row r="14" spans="1:17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/>
      <c r="L14" s="7" t="str">
        <f t="shared" si="0"/>
        <v>Standard price</v>
      </c>
      <c r="O14" s="6" t="str">
        <f t="shared" si="1"/>
        <v>08</v>
      </c>
      <c r="P14" s="6" t="str">
        <f t="shared" si="2"/>
        <v>DE</v>
      </c>
      <c r="Q14" s="6" t="str">
        <f t="shared" si="3"/>
        <v>DEC</v>
      </c>
    </row>
    <row r="15" spans="1:17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/>
      <c r="L15" s="7" t="str">
        <f t="shared" si="0"/>
        <v>Standard price</v>
      </c>
      <c r="O15" s="6" t="str">
        <f t="shared" si="1"/>
        <v>18</v>
      </c>
      <c r="P15" s="6" t="str">
        <f t="shared" si="2"/>
        <v>CA</v>
      </c>
      <c r="Q15" s="6" t="str">
        <f t="shared" si="3"/>
        <v>FEB</v>
      </c>
    </row>
    <row r="16" spans="1:17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/>
      <c r="L16" s="7" t="str">
        <f t="shared" si="0"/>
        <v>Standard price</v>
      </c>
      <c r="O16" s="6" t="str">
        <f t="shared" si="1"/>
        <v>16</v>
      </c>
      <c r="P16" s="6" t="str">
        <f t="shared" si="2"/>
        <v>ES</v>
      </c>
      <c r="Q16" s="6" t="str">
        <f t="shared" si="3"/>
        <v>APR</v>
      </c>
    </row>
    <row r="17" spans="1:17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/>
      <c r="L17" s="7" t="str">
        <f t="shared" si="0"/>
        <v>Standard price</v>
      </c>
      <c r="O17" s="6" t="str">
        <f t="shared" si="1"/>
        <v>21</v>
      </c>
      <c r="P17" s="6" t="str">
        <f t="shared" si="2"/>
        <v>CA</v>
      </c>
      <c r="Q17" s="6" t="str">
        <f t="shared" si="3"/>
        <v>AUG</v>
      </c>
    </row>
    <row r="18" spans="1:17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/>
      <c r="L18" s="7" t="str">
        <f t="shared" si="0"/>
        <v>Standard price</v>
      </c>
      <c r="O18" s="6" t="str">
        <f t="shared" si="1"/>
        <v>20</v>
      </c>
      <c r="P18" s="6" t="str">
        <f t="shared" si="2"/>
        <v>CN</v>
      </c>
      <c r="Q18" s="6" t="str">
        <f t="shared" si="3"/>
        <v>AUG</v>
      </c>
    </row>
    <row r="19" spans="1:17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/>
      <c r="L19" s="7" t="str">
        <f t="shared" si="0"/>
        <v>High price</v>
      </c>
      <c r="O19" s="6" t="str">
        <f t="shared" si="1"/>
        <v>27</v>
      </c>
      <c r="P19" s="6" t="str">
        <f t="shared" si="2"/>
        <v>IT</v>
      </c>
      <c r="Q19" s="6" t="str">
        <f t="shared" si="3"/>
        <v>JAN</v>
      </c>
    </row>
    <row r="20" spans="1:17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/>
      <c r="L20" s="7" t="str">
        <f t="shared" si="0"/>
        <v>Standard price</v>
      </c>
      <c r="O20" s="6" t="str">
        <f t="shared" si="1"/>
        <v>01</v>
      </c>
      <c r="P20" s="6" t="str">
        <f t="shared" si="2"/>
        <v>UK</v>
      </c>
      <c r="Q20" s="6" t="str">
        <f t="shared" si="3"/>
        <v>MAR</v>
      </c>
    </row>
    <row r="21" spans="1:17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/>
      <c r="L21" s="7" t="str">
        <f t="shared" si="0"/>
        <v>Standard price</v>
      </c>
      <c r="O21" s="6" t="str">
        <f t="shared" si="1"/>
        <v>14</v>
      </c>
      <c r="P21" s="6" t="str">
        <f t="shared" si="2"/>
        <v>US</v>
      </c>
      <c r="Q21" s="6" t="str">
        <f t="shared" si="3"/>
        <v>AUG</v>
      </c>
    </row>
    <row r="22" spans="1:17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/>
      <c r="L22" s="7" t="str">
        <f t="shared" si="0"/>
        <v>High price</v>
      </c>
      <c r="O22" s="6" t="str">
        <f t="shared" si="1"/>
        <v>14</v>
      </c>
      <c r="P22" s="6" t="str">
        <f t="shared" si="2"/>
        <v>RU</v>
      </c>
      <c r="Q22" s="6" t="str">
        <f t="shared" si="3"/>
        <v>MAY</v>
      </c>
    </row>
    <row r="23" spans="1:17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/>
      <c r="L23" s="7" t="str">
        <f t="shared" si="0"/>
        <v>Standard price</v>
      </c>
      <c r="O23" s="6" t="str">
        <f t="shared" si="1"/>
        <v>09</v>
      </c>
      <c r="P23" s="6" t="str">
        <f t="shared" si="2"/>
        <v>CA</v>
      </c>
      <c r="Q23" s="6" t="str">
        <f t="shared" si="3"/>
        <v>JAN</v>
      </c>
    </row>
    <row r="24" spans="1:17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/>
      <c r="L24" s="7" t="str">
        <f t="shared" si="0"/>
        <v>Standard price</v>
      </c>
      <c r="O24" s="6" t="str">
        <f t="shared" si="1"/>
        <v>19</v>
      </c>
      <c r="P24" s="6" t="str">
        <f t="shared" si="2"/>
        <v>BR</v>
      </c>
      <c r="Q24" s="6" t="str">
        <f t="shared" si="3"/>
        <v>JUL</v>
      </c>
    </row>
    <row r="25" spans="1:17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4"/>
      <c r="L25" s="7" t="str">
        <f t="shared" si="0"/>
        <v>Standard price</v>
      </c>
      <c r="O25" s="6" t="str">
        <f t="shared" si="1"/>
        <v>21</v>
      </c>
      <c r="P25" s="6" t="str">
        <f t="shared" si="2"/>
        <v>CA</v>
      </c>
      <c r="Q25" s="6" t="str">
        <f t="shared" si="3"/>
        <v>AUG</v>
      </c>
    </row>
    <row r="26" spans="1:17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/>
      <c r="L26" s="7" t="str">
        <f t="shared" si="0"/>
        <v>High price</v>
      </c>
      <c r="O26" s="6" t="str">
        <f t="shared" si="1"/>
        <v>29</v>
      </c>
      <c r="P26" s="6" t="str">
        <f t="shared" si="2"/>
        <v>CA</v>
      </c>
      <c r="Q26" s="6" t="str">
        <f t="shared" si="3"/>
        <v>SEP</v>
      </c>
    </row>
    <row r="27" spans="1:17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/>
      <c r="L27" s="7" t="str">
        <f t="shared" si="0"/>
        <v>Standard price</v>
      </c>
      <c r="O27" s="6" t="str">
        <f t="shared" si="1"/>
        <v>03</v>
      </c>
      <c r="P27" s="6" t="str">
        <f t="shared" si="2"/>
        <v>CA</v>
      </c>
      <c r="Q27" s="6" t="str">
        <f t="shared" si="3"/>
        <v>JUN</v>
      </c>
    </row>
    <row r="28" spans="1:17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/>
      <c r="L28" s="7" t="str">
        <f t="shared" si="0"/>
        <v>Standard price</v>
      </c>
      <c r="O28" s="6" t="str">
        <f t="shared" si="1"/>
        <v>11</v>
      </c>
      <c r="P28" s="6" t="str">
        <f t="shared" si="2"/>
        <v>CA</v>
      </c>
      <c r="Q28" s="6" t="str">
        <f t="shared" si="3"/>
        <v>JUL</v>
      </c>
    </row>
    <row r="29" spans="1:17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4"/>
      <c r="L29" s="7" t="str">
        <f t="shared" si="0"/>
        <v>Standard price</v>
      </c>
      <c r="O29" s="6" t="str">
        <f t="shared" si="1"/>
        <v>16</v>
      </c>
      <c r="P29" s="6" t="str">
        <f t="shared" si="2"/>
        <v>ES</v>
      </c>
      <c r="Q29" s="6" t="str">
        <f t="shared" si="3"/>
        <v>APR</v>
      </c>
    </row>
    <row r="30" spans="1:17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/>
      <c r="L30" s="7" t="str">
        <f t="shared" si="0"/>
        <v>Standard price</v>
      </c>
      <c r="O30" s="6" t="str">
        <f t="shared" si="1"/>
        <v>07</v>
      </c>
      <c r="P30" s="6" t="str">
        <f t="shared" si="2"/>
        <v>CA</v>
      </c>
      <c r="Q30" s="6" t="str">
        <f t="shared" si="3"/>
        <v>MAR</v>
      </c>
    </row>
    <row r="31" spans="1:17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/>
      <c r="L31" s="7" t="str">
        <f t="shared" si="0"/>
        <v>Standard price</v>
      </c>
      <c r="O31" s="6" t="str">
        <f t="shared" si="1"/>
        <v>13</v>
      </c>
      <c r="P31" s="6" t="str">
        <f t="shared" si="2"/>
        <v>CA</v>
      </c>
      <c r="Q31" s="6" t="str">
        <f t="shared" si="3"/>
        <v>APR</v>
      </c>
    </row>
    <row r="32" spans="1:17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/>
      <c r="L32" s="7" t="str">
        <f t="shared" si="0"/>
        <v>Standard price</v>
      </c>
      <c r="O32" s="6" t="str">
        <f t="shared" si="1"/>
        <v>24</v>
      </c>
      <c r="P32" s="6" t="str">
        <f t="shared" si="2"/>
        <v>CA</v>
      </c>
      <c r="Q32" s="6" t="str">
        <f t="shared" si="3"/>
        <v>MAY</v>
      </c>
    </row>
    <row r="33" spans="1:17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/>
      <c r="L33" s="7" t="str">
        <f t="shared" si="0"/>
        <v>Standard price</v>
      </c>
      <c r="O33" s="6" t="str">
        <f t="shared" si="1"/>
        <v>02</v>
      </c>
      <c r="P33" s="6" t="str">
        <f t="shared" si="2"/>
        <v>CA</v>
      </c>
      <c r="Q33" s="6" t="str">
        <f t="shared" si="3"/>
        <v>DEC</v>
      </c>
    </row>
    <row r="34" spans="1:17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/>
      <c r="L34" s="7" t="str">
        <f t="shared" si="0"/>
        <v>High price</v>
      </c>
      <c r="O34" s="6" t="str">
        <f t="shared" si="1"/>
        <v>17</v>
      </c>
      <c r="P34" s="6" t="str">
        <f t="shared" si="2"/>
        <v>IN</v>
      </c>
      <c r="Q34" s="6" t="str">
        <f t="shared" si="3"/>
        <v>JUN</v>
      </c>
    </row>
    <row r="35" spans="1:17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/>
      <c r="L35" s="7" t="str">
        <f t="shared" si="0"/>
        <v>Standard price</v>
      </c>
      <c r="O35" s="6" t="str">
        <f t="shared" si="1"/>
        <v>09</v>
      </c>
      <c r="P35" s="6" t="str">
        <f t="shared" si="2"/>
        <v>FR</v>
      </c>
      <c r="Q35" s="6" t="str">
        <f t="shared" si="3"/>
        <v>JUL</v>
      </c>
    </row>
    <row r="36" spans="1:17" ht="15.75" customHeight="1" x14ac:dyDescent="0.25">
      <c r="B36" s="5"/>
      <c r="C36" s="5"/>
      <c r="D36" s="5"/>
      <c r="L36" s="14"/>
      <c r="O36" s="10" t="str">
        <f t="shared" si="1"/>
        <v/>
      </c>
    </row>
    <row r="37" spans="1:17" ht="15.75" customHeight="1" x14ac:dyDescent="0.25">
      <c r="B37" s="6"/>
      <c r="C37" s="7"/>
    </row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mufhim</cp:lastModifiedBy>
  <dcterms:created xsi:type="dcterms:W3CDTF">2026-08-23T16:28:09Z</dcterms:created>
  <dcterms:modified xsi:type="dcterms:W3CDTF">2026-08-24T07:34:48Z</dcterms:modified>
</cp:coreProperties>
</file>